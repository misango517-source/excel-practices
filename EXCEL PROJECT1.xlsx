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 activeTab="1"/>
  </bookViews>
  <sheets>
    <sheet name="Sales" sheetId="5" r:id="rId1"/>
    <sheet name="Report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<sst xmlns="http://schemas.openxmlformats.org/spreadsheetml/2006/main" count="117" uniqueCount="27">
  <si>
    <t>DATE</t>
  </si>
  <si>
    <t xml:space="preserve">STAFF NAME </t>
  </si>
  <si>
    <t>SERVICE</t>
  </si>
  <si>
    <t>CHARGES</t>
  </si>
  <si>
    <t>COMMISSION RATE</t>
  </si>
  <si>
    <t>STAFF SHARES</t>
  </si>
  <si>
    <t>COMPANY SHARES</t>
  </si>
  <si>
    <t>TREVOR</t>
  </si>
  <si>
    <t>FACIAL</t>
  </si>
  <si>
    <t>CHRIS</t>
  </si>
  <si>
    <t>MASSAGE</t>
  </si>
  <si>
    <t>AUSTIN</t>
  </si>
  <si>
    <t>HAIR CUT</t>
  </si>
  <si>
    <t>MARTIN</t>
  </si>
  <si>
    <t>MANICURE</t>
  </si>
  <si>
    <t>BEN</t>
  </si>
  <si>
    <t>PEDICURE</t>
  </si>
  <si>
    <t>TOTAL -
01/06/2026</t>
  </si>
  <si>
    <t>TOTAL -
02/06/2026</t>
  </si>
  <si>
    <t>TOTAL -
03/06/2026</t>
  </si>
  <si>
    <t>TOTAL -
04/06/2026</t>
  </si>
  <si>
    <t>TOTAL -
05/06/2026</t>
  </si>
  <si>
    <t>TOTAL -
06/06/2026</t>
  </si>
  <si>
    <t>Staff Name</t>
  </si>
  <si>
    <t>Total Sales</t>
  </si>
  <si>
    <t>Gross Commission</t>
  </si>
  <si>
    <t xml:space="preserve">Company Share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</si>
</sst>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\-_);_(@_)"/>
  </numFmts>
  <fonts count="23">
    <font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NumberFormat="1" applyFont="1" applyFill="1" applyAlignment="1">
      <alignment textRotation="45"/>
    </xf>
    <xf numFmtId="0" fontId="2" fillId="0" borderId="1" xfId="0" applyNumberFormat="1" applyFont="1" applyFill="1" applyBorder="1" applyAlignment="1">
      <alignment horizontal="center"/>
    </xf>
    <xf numFmtId="178" fontId="1" fillId="0" borderId="0" xfId="0" applyNumberFormat="1" applyFont="1" applyFill="1"/>
    <xf numFmtId="178" fontId="2" fillId="0" borderId="1" xfId="0" applyNumberFormat="1" applyFont="1" applyFill="1" applyBorder="1" applyAlignment="1">
      <alignment horizontal="center"/>
    </xf>
    <xf numFmtId="58" fontId="2" fillId="0" borderId="1" xfId="0" applyNumberFormat="1" applyFont="1" applyFill="1" applyBorder="1" applyAlignment="1">
      <alignment horizontal="center"/>
    </xf>
    <xf numFmtId="10" fontId="2" fillId="0" borderId="1" xfId="0" applyNumberFormat="1" applyFont="1" applyFill="1" applyBorder="1" applyAlignment="1">
      <alignment horizontal="center"/>
    </xf>
    <xf numFmtId="178" fontId="2" fillId="0" borderId="1" xfId="0" applyNumberFormat="1" applyFont="1" applyFill="1" applyBorder="1"/>
    <xf numFmtId="0" fontId="2" fillId="0" borderId="1" xfId="0" applyNumberFormat="1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opLeftCell="A38" workbookViewId="0">
      <selection activeCell="D2" sqref="D2"/>
    </sheetView>
  </sheetViews>
  <sheetFormatPr defaultColWidth="9" defaultRowHeight="15" outlineLevelCol="6"/>
  <cols>
    <col min="1" max="1" width="14" customWidth="1"/>
    <col min="2" max="2" width="15.8571428571429" customWidth="1"/>
    <col min="3" max="3" width="13.2857142857143" customWidth="1"/>
    <col min="4" max="4" width="11.4285714285714" customWidth="1"/>
    <col min="5" max="5" width="30.1428571428571" customWidth="1"/>
    <col min="6" max="6" width="16.8571428571429" customWidth="1"/>
    <col min="7" max="7" width="22" customWidth="1"/>
  </cols>
  <sheetData>
    <row r="1" ht="18.7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</row>
    <row r="2" ht="18.75" spans="1:7">
      <c r="A2" s="5">
        <v>46174</v>
      </c>
      <c r="B2" s="2" t="s">
        <v>7</v>
      </c>
      <c r="C2" s="2" t="s">
        <v>8</v>
      </c>
      <c r="D2" s="4">
        <v>3500</v>
      </c>
      <c r="E2" s="6">
        <v>0.3</v>
      </c>
      <c r="F2" s="7">
        <f>(D2*E2)</f>
        <v>1050</v>
      </c>
      <c r="G2" s="7">
        <f>(D2-F2)</f>
        <v>2450</v>
      </c>
    </row>
    <row r="3" ht="18.75" spans="1:7">
      <c r="A3" s="5">
        <v>46174</v>
      </c>
      <c r="B3" s="2" t="s">
        <v>9</v>
      </c>
      <c r="C3" s="2" t="s">
        <v>10</v>
      </c>
      <c r="D3" s="4">
        <v>4000</v>
      </c>
      <c r="E3" s="6">
        <v>0.4</v>
      </c>
      <c r="F3" s="7">
        <f>(D3*E3)</f>
        <v>1600</v>
      </c>
      <c r="G3" s="7">
        <f>(D3-F3)</f>
        <v>2400</v>
      </c>
    </row>
    <row r="4" ht="18.75" spans="1:7">
      <c r="A4" s="5">
        <v>46174</v>
      </c>
      <c r="B4" s="2" t="s">
        <v>11</v>
      </c>
      <c r="C4" s="2" t="s">
        <v>12</v>
      </c>
      <c r="D4" s="4">
        <v>2000</v>
      </c>
      <c r="E4" s="6">
        <v>0.45</v>
      </c>
      <c r="F4" s="7">
        <f>(D4*E4)</f>
        <v>900</v>
      </c>
      <c r="G4" s="7">
        <f>(D4-F4)</f>
        <v>1100</v>
      </c>
    </row>
    <row r="5" ht="18.75" spans="1:7">
      <c r="A5" s="5">
        <v>46174</v>
      </c>
      <c r="B5" s="2" t="s">
        <v>13</v>
      </c>
      <c r="C5" s="2" t="s">
        <v>14</v>
      </c>
      <c r="D5" s="4">
        <v>2500</v>
      </c>
      <c r="E5" s="6">
        <v>0.5</v>
      </c>
      <c r="F5" s="7">
        <f>(D5*E5)</f>
        <v>1250</v>
      </c>
      <c r="G5" s="7">
        <f>(D5-F5)</f>
        <v>1250</v>
      </c>
    </row>
    <row r="6" ht="18.75" spans="1:7">
      <c r="A6" s="5">
        <v>46174</v>
      </c>
      <c r="B6" s="2" t="s">
        <v>15</v>
      </c>
      <c r="C6" s="2" t="s">
        <v>16</v>
      </c>
      <c r="D6" s="4">
        <v>2500</v>
      </c>
      <c r="E6" s="6">
        <v>0.65</v>
      </c>
      <c r="F6" s="7">
        <f>(D6*E6)</f>
        <v>1625</v>
      </c>
      <c r="G6" s="7">
        <f>(D6-F6)</f>
        <v>875</v>
      </c>
    </row>
    <row r="7" ht="56.25" spans="1:7">
      <c r="A7" s="8" t="s">
        <v>17</v>
      </c>
      <c r="B7" s="2"/>
      <c r="C7" s="2"/>
      <c r="D7" s="4">
        <f>SUM(D2:D6)</f>
        <v>14500</v>
      </c>
      <c r="E7" s="4"/>
      <c r="F7" s="4">
        <f>SUM(F2:F6)</f>
        <v>6425</v>
      </c>
      <c r="G7" s="4">
        <f>SUM(G2:G6)</f>
        <v>8075</v>
      </c>
    </row>
    <row r="9" ht="18.75" spans="1:7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4" t="s">
        <v>5</v>
      </c>
      <c r="G9" s="4" t="s">
        <v>6</v>
      </c>
    </row>
    <row r="10" ht="18.75" spans="1:7">
      <c r="A10" s="5">
        <v>46175</v>
      </c>
      <c r="B10" s="2" t="s">
        <v>7</v>
      </c>
      <c r="C10" s="2" t="s">
        <v>8</v>
      </c>
      <c r="D10" s="4">
        <v>4599</v>
      </c>
      <c r="E10" s="6">
        <v>0.3</v>
      </c>
      <c r="F10" s="7">
        <f>(D10*E10)</f>
        <v>1379.7</v>
      </c>
      <c r="G10" s="7">
        <f>(D10-F10)</f>
        <v>3219.3</v>
      </c>
    </row>
    <row r="11" ht="18.75" spans="1:7">
      <c r="A11" s="5">
        <v>46175</v>
      </c>
      <c r="B11" s="2" t="s">
        <v>9</v>
      </c>
      <c r="C11" s="2" t="s">
        <v>10</v>
      </c>
      <c r="D11" s="4">
        <v>9988</v>
      </c>
      <c r="E11" s="6">
        <v>0.4</v>
      </c>
      <c r="F11" s="7">
        <f>(D11*E11)</f>
        <v>3995.2</v>
      </c>
      <c r="G11" s="7">
        <f>(D11-F11)</f>
        <v>5992.8</v>
      </c>
    </row>
    <row r="12" ht="18.75" spans="1:7">
      <c r="A12" s="5">
        <v>46175</v>
      </c>
      <c r="B12" s="2" t="s">
        <v>11</v>
      </c>
      <c r="C12" s="2" t="s">
        <v>12</v>
      </c>
      <c r="D12" s="4">
        <v>3200</v>
      </c>
      <c r="E12" s="6">
        <v>0.45</v>
      </c>
      <c r="F12" s="7">
        <f>(D12*E12)</f>
        <v>1440</v>
      </c>
      <c r="G12" s="7">
        <f>(D12-F12)</f>
        <v>1760</v>
      </c>
    </row>
    <row r="13" ht="18.75" spans="1:7">
      <c r="A13" s="5">
        <v>46175</v>
      </c>
      <c r="B13" s="2" t="s">
        <v>13</v>
      </c>
      <c r="C13" s="2" t="s">
        <v>14</v>
      </c>
      <c r="D13" s="4">
        <v>7654</v>
      </c>
      <c r="E13" s="6">
        <v>0.5</v>
      </c>
      <c r="F13" s="7">
        <f>(D13*E13)</f>
        <v>3827</v>
      </c>
      <c r="G13" s="7">
        <f>(D13-F13)</f>
        <v>3827</v>
      </c>
    </row>
    <row r="14" ht="18.75" spans="1:7">
      <c r="A14" s="5">
        <v>46175</v>
      </c>
      <c r="B14" s="2" t="s">
        <v>15</v>
      </c>
      <c r="C14" s="2" t="s">
        <v>16</v>
      </c>
      <c r="D14" s="4">
        <v>9876</v>
      </c>
      <c r="E14" s="6">
        <v>0.65</v>
      </c>
      <c r="F14" s="7">
        <f>(D14*E14)</f>
        <v>6419.4</v>
      </c>
      <c r="G14" s="7">
        <f>(D14-F14)</f>
        <v>3456.6</v>
      </c>
    </row>
    <row r="15" ht="56.25" spans="1:7">
      <c r="A15" s="8" t="s">
        <v>18</v>
      </c>
      <c r="B15" s="2"/>
      <c r="C15" s="2"/>
      <c r="D15" s="4">
        <f>SUM(D10:D14)</f>
        <v>35317</v>
      </c>
      <c r="E15" s="4"/>
      <c r="F15" s="4">
        <f>SUM(F10:F14)</f>
        <v>17061.3</v>
      </c>
      <c r="G15" s="4">
        <f>SUM(G10:G14)</f>
        <v>18255.7</v>
      </c>
    </row>
    <row r="17" ht="18.75" spans="1:7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4" t="s">
        <v>5</v>
      </c>
      <c r="G17" s="4" t="s">
        <v>6</v>
      </c>
    </row>
    <row r="18" ht="18.75" spans="1:7">
      <c r="A18" s="5">
        <v>46176</v>
      </c>
      <c r="B18" s="2" t="s">
        <v>7</v>
      </c>
      <c r="C18" s="2" t="s">
        <v>8</v>
      </c>
      <c r="D18" s="4">
        <v>5443</v>
      </c>
      <c r="E18" s="6">
        <v>0.3</v>
      </c>
      <c r="F18" s="7">
        <f>(D18*E18)</f>
        <v>1632.9</v>
      </c>
      <c r="G18" s="7">
        <f>(D18-F18)</f>
        <v>3810.1</v>
      </c>
    </row>
    <row r="19" ht="18.75" spans="1:7">
      <c r="A19" s="5">
        <v>46176</v>
      </c>
      <c r="B19" s="2" t="s">
        <v>9</v>
      </c>
      <c r="C19" s="2" t="s">
        <v>10</v>
      </c>
      <c r="D19" s="4">
        <v>8788</v>
      </c>
      <c r="E19" s="6">
        <v>0.4</v>
      </c>
      <c r="F19" s="7">
        <f>(D19*E19)</f>
        <v>3515.2</v>
      </c>
      <c r="G19" s="7">
        <f>(D19-F19)</f>
        <v>5272.8</v>
      </c>
    </row>
    <row r="20" ht="18.75" spans="1:7">
      <c r="A20" s="5">
        <v>46176</v>
      </c>
      <c r="B20" s="2" t="s">
        <v>11</v>
      </c>
      <c r="C20" s="2" t="s">
        <v>12</v>
      </c>
      <c r="D20" s="4">
        <v>9800</v>
      </c>
      <c r="E20" s="6">
        <v>0.45</v>
      </c>
      <c r="F20" s="7">
        <f>(D20*E20)</f>
        <v>4410</v>
      </c>
      <c r="G20" s="7">
        <f>(D20-F20)</f>
        <v>5390</v>
      </c>
    </row>
    <row r="21" ht="18.75" spans="1:7">
      <c r="A21" s="5">
        <v>46176</v>
      </c>
      <c r="B21" s="2" t="s">
        <v>13</v>
      </c>
      <c r="C21" s="2" t="s">
        <v>14</v>
      </c>
      <c r="D21" s="4">
        <v>8765</v>
      </c>
      <c r="E21" s="6">
        <v>0.5</v>
      </c>
      <c r="F21" s="7">
        <f>(D21*E21)</f>
        <v>4382.5</v>
      </c>
      <c r="G21" s="7">
        <f>(D21-F21)</f>
        <v>4382.5</v>
      </c>
    </row>
    <row r="22" ht="18.75" spans="1:7">
      <c r="A22" s="5">
        <v>46176</v>
      </c>
      <c r="B22" s="2" t="s">
        <v>15</v>
      </c>
      <c r="C22" s="2" t="s">
        <v>16</v>
      </c>
      <c r="D22" s="4">
        <v>5432</v>
      </c>
      <c r="E22" s="6">
        <v>0.65</v>
      </c>
      <c r="F22" s="7">
        <f>(D22*E22)</f>
        <v>3530.8</v>
      </c>
      <c r="G22" s="7">
        <f>(D22-F22)</f>
        <v>1901.2</v>
      </c>
    </row>
    <row r="23" ht="56.25" spans="1:7">
      <c r="A23" s="8" t="s">
        <v>19</v>
      </c>
      <c r="B23" s="2"/>
      <c r="C23" s="2"/>
      <c r="D23" s="4">
        <f>SUM(D18:D22)</f>
        <v>38228</v>
      </c>
      <c r="E23" s="4"/>
      <c r="F23" s="4">
        <f>SUM(F18:F22)</f>
        <v>17471.4</v>
      </c>
      <c r="G23" s="4">
        <f>SUM(G18:G22)</f>
        <v>20756.6</v>
      </c>
    </row>
    <row r="25" ht="18.75" spans="1:7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4" t="s">
        <v>5</v>
      </c>
      <c r="G25" s="4" t="s">
        <v>6</v>
      </c>
    </row>
    <row r="26" ht="18.75" spans="1:7">
      <c r="A26" s="5">
        <v>46177</v>
      </c>
      <c r="B26" s="2" t="s">
        <v>7</v>
      </c>
      <c r="C26" s="2" t="s">
        <v>8</v>
      </c>
      <c r="D26" s="4">
        <v>4321</v>
      </c>
      <c r="E26" s="6">
        <v>0.3</v>
      </c>
      <c r="F26" s="7">
        <f>(D26*E26)</f>
        <v>1296.3</v>
      </c>
      <c r="G26" s="7">
        <f>(D26-F26)</f>
        <v>3024.7</v>
      </c>
    </row>
    <row r="27" ht="18.75" spans="1:7">
      <c r="A27" s="5">
        <v>46177</v>
      </c>
      <c r="B27" s="2" t="s">
        <v>9</v>
      </c>
      <c r="C27" s="2" t="s">
        <v>10</v>
      </c>
      <c r="D27" s="4">
        <v>6543</v>
      </c>
      <c r="E27" s="6">
        <v>0.4</v>
      </c>
      <c r="F27" s="7">
        <f>(D27*E27)</f>
        <v>2617.2</v>
      </c>
      <c r="G27" s="7">
        <f>(D27-F27)</f>
        <v>3925.8</v>
      </c>
    </row>
    <row r="28" ht="18.75" spans="1:7">
      <c r="A28" s="5">
        <v>46177</v>
      </c>
      <c r="B28" s="2" t="s">
        <v>11</v>
      </c>
      <c r="C28" s="2" t="s">
        <v>12</v>
      </c>
      <c r="D28" s="4">
        <v>9876</v>
      </c>
      <c r="E28" s="6">
        <v>0.45</v>
      </c>
      <c r="F28" s="7">
        <f>(D28*E28)</f>
        <v>4444.2</v>
      </c>
      <c r="G28" s="7">
        <f>(D28-F28)</f>
        <v>5431.8</v>
      </c>
    </row>
    <row r="29" ht="18.75" spans="1:7">
      <c r="A29" s="5">
        <v>46177</v>
      </c>
      <c r="B29" s="2" t="s">
        <v>13</v>
      </c>
      <c r="C29" s="2" t="s">
        <v>14</v>
      </c>
      <c r="D29" s="4">
        <v>4321</v>
      </c>
      <c r="E29" s="6">
        <v>0.5</v>
      </c>
      <c r="F29" s="7">
        <f>(D29*E29)</f>
        <v>2160.5</v>
      </c>
      <c r="G29" s="7">
        <f>(D29-F29)</f>
        <v>2160.5</v>
      </c>
    </row>
    <row r="30" ht="18.75" spans="1:7">
      <c r="A30" s="5">
        <v>46177</v>
      </c>
      <c r="B30" s="2" t="s">
        <v>15</v>
      </c>
      <c r="C30" s="2" t="s">
        <v>16</v>
      </c>
      <c r="D30" s="4">
        <v>7658</v>
      </c>
      <c r="E30" s="6">
        <v>0.65</v>
      </c>
      <c r="F30" s="7">
        <f>(D30*E30)</f>
        <v>4977.7</v>
      </c>
      <c r="G30" s="7">
        <f>(D30-F30)</f>
        <v>2680.3</v>
      </c>
    </row>
    <row r="31" ht="56.25" spans="1:7">
      <c r="A31" s="8" t="s">
        <v>20</v>
      </c>
      <c r="B31" s="2"/>
      <c r="C31" s="2"/>
      <c r="D31" s="4">
        <f>SUM(D26:D30)</f>
        <v>32719</v>
      </c>
      <c r="E31" s="4"/>
      <c r="F31" s="4">
        <f>SUM(F26:F30)</f>
        <v>15495.9</v>
      </c>
      <c r="G31" s="4">
        <f>SUM(G26:G30)</f>
        <v>17223.1</v>
      </c>
    </row>
    <row r="33" ht="18.75" spans="1:7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4" t="s">
        <v>5</v>
      </c>
      <c r="G33" s="4" t="s">
        <v>6</v>
      </c>
    </row>
    <row r="34" ht="18.75" spans="1:7">
      <c r="A34" s="5">
        <v>46178</v>
      </c>
      <c r="B34" s="2" t="s">
        <v>7</v>
      </c>
      <c r="C34" s="2" t="s">
        <v>8</v>
      </c>
      <c r="D34" s="4">
        <v>4321</v>
      </c>
      <c r="E34" s="6">
        <v>0.3</v>
      </c>
      <c r="F34" s="7">
        <f>(D34*E34)</f>
        <v>1296.3</v>
      </c>
      <c r="G34" s="7">
        <f>(D34-F34)</f>
        <v>3024.7</v>
      </c>
    </row>
    <row r="35" ht="18.75" spans="1:7">
      <c r="A35" s="5">
        <v>46178</v>
      </c>
      <c r="B35" s="2" t="s">
        <v>9</v>
      </c>
      <c r="C35" s="2" t="s">
        <v>10</v>
      </c>
      <c r="D35" s="4">
        <v>3421</v>
      </c>
      <c r="E35" s="6">
        <v>0.4</v>
      </c>
      <c r="F35" s="7">
        <f>(D35*E35)</f>
        <v>1368.4</v>
      </c>
      <c r="G35" s="7">
        <f>(D35-F35)</f>
        <v>2052.6</v>
      </c>
    </row>
    <row r="36" ht="18.75" spans="1:7">
      <c r="A36" s="5">
        <v>46178</v>
      </c>
      <c r="B36" s="2" t="s">
        <v>11</v>
      </c>
      <c r="C36" s="2" t="s">
        <v>12</v>
      </c>
      <c r="D36" s="4">
        <v>5654</v>
      </c>
      <c r="E36" s="6">
        <v>0.45</v>
      </c>
      <c r="F36" s="7">
        <f>(D36*E36)</f>
        <v>2544.3</v>
      </c>
      <c r="G36" s="7">
        <f>(D36-F36)</f>
        <v>3109.7</v>
      </c>
    </row>
    <row r="37" ht="18.75" spans="1:7">
      <c r="A37" s="5">
        <v>46178</v>
      </c>
      <c r="B37" s="2" t="s">
        <v>13</v>
      </c>
      <c r="C37" s="2" t="s">
        <v>14</v>
      </c>
      <c r="D37" s="4">
        <v>5432</v>
      </c>
      <c r="E37" s="6">
        <v>0.5</v>
      </c>
      <c r="F37" s="7">
        <f>(D37*E37)</f>
        <v>2716</v>
      </c>
      <c r="G37" s="7">
        <f>(D37-F37)</f>
        <v>2716</v>
      </c>
    </row>
    <row r="38" ht="18.75" spans="1:7">
      <c r="A38" s="5">
        <v>46178</v>
      </c>
      <c r="B38" s="2" t="s">
        <v>15</v>
      </c>
      <c r="C38" s="2" t="s">
        <v>16</v>
      </c>
      <c r="D38" s="4">
        <v>9876</v>
      </c>
      <c r="E38" s="6">
        <v>0.65</v>
      </c>
      <c r="F38" s="7">
        <f>(D38*E38)</f>
        <v>6419.4</v>
      </c>
      <c r="G38" s="7">
        <f>(D38-F38)</f>
        <v>3456.6</v>
      </c>
    </row>
    <row r="39" ht="56.25" spans="1:7">
      <c r="A39" s="8" t="s">
        <v>21</v>
      </c>
      <c r="B39" s="2"/>
      <c r="C39" s="2"/>
      <c r="D39" s="4">
        <f>SUM(D34:D38)</f>
        <v>28704</v>
      </c>
      <c r="E39" s="4"/>
      <c r="F39" s="4">
        <f>SUM(F34:F38)</f>
        <v>14344.4</v>
      </c>
      <c r="G39" s="4">
        <f>SUM(G34:G38)</f>
        <v>14359.6</v>
      </c>
    </row>
    <row r="41" ht="18.75" spans="1:7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4" t="s">
        <v>5</v>
      </c>
      <c r="G41" s="4" t="s">
        <v>6</v>
      </c>
    </row>
    <row r="42" ht="18.75" spans="1:7">
      <c r="A42" s="5">
        <v>46179</v>
      </c>
      <c r="B42" s="2" t="s">
        <v>7</v>
      </c>
      <c r="C42" s="2" t="s">
        <v>8</v>
      </c>
      <c r="D42" s="4">
        <v>2100</v>
      </c>
      <c r="E42" s="6">
        <v>0.3</v>
      </c>
      <c r="F42" s="7">
        <f>(D42*E42)</f>
        <v>630</v>
      </c>
      <c r="G42" s="7">
        <f>(D42-F42)</f>
        <v>1470</v>
      </c>
    </row>
    <row r="43" ht="18.75" spans="1:7">
      <c r="A43" s="5">
        <v>46179</v>
      </c>
      <c r="B43" s="2" t="s">
        <v>9</v>
      </c>
      <c r="C43" s="2" t="s">
        <v>10</v>
      </c>
      <c r="D43" s="4">
        <v>2200</v>
      </c>
      <c r="E43" s="6">
        <v>0.4</v>
      </c>
      <c r="F43" s="7">
        <f>(D43*E43)</f>
        <v>880</v>
      </c>
      <c r="G43" s="7">
        <f>(D43-F43)</f>
        <v>1320</v>
      </c>
    </row>
    <row r="44" ht="18.75" spans="1:7">
      <c r="A44" s="5">
        <v>46179</v>
      </c>
      <c r="B44" s="2" t="s">
        <v>11</v>
      </c>
      <c r="C44" s="2" t="s">
        <v>12</v>
      </c>
      <c r="D44" s="4">
        <v>2300</v>
      </c>
      <c r="E44" s="6">
        <v>0.45</v>
      </c>
      <c r="F44" s="7">
        <f>(D44*E44)</f>
        <v>1035</v>
      </c>
      <c r="G44" s="7">
        <f>(D44-F44)</f>
        <v>1265</v>
      </c>
    </row>
    <row r="45" ht="18.75" spans="1:7">
      <c r="A45" s="5">
        <v>46179</v>
      </c>
      <c r="B45" s="2" t="s">
        <v>13</v>
      </c>
      <c r="C45" s="2" t="s">
        <v>14</v>
      </c>
      <c r="D45" s="4">
        <v>2400</v>
      </c>
      <c r="E45" s="6">
        <v>0.5</v>
      </c>
      <c r="F45" s="7">
        <f>(D45*E45)</f>
        <v>1200</v>
      </c>
      <c r="G45" s="7">
        <f>(D45-F45)</f>
        <v>1200</v>
      </c>
    </row>
    <row r="46" ht="18.75" spans="1:7">
      <c r="A46" s="5">
        <v>46179</v>
      </c>
      <c r="B46" s="2" t="s">
        <v>15</v>
      </c>
      <c r="C46" s="2" t="s">
        <v>16</v>
      </c>
      <c r="D46" s="4">
        <v>2555</v>
      </c>
      <c r="E46" s="6">
        <v>0.65</v>
      </c>
      <c r="F46" s="7">
        <f>(D46*E46)</f>
        <v>1660.75</v>
      </c>
      <c r="G46" s="7">
        <f>(D46-F46)</f>
        <v>894.25</v>
      </c>
    </row>
    <row r="47" ht="56.25" spans="1:7">
      <c r="A47" s="8" t="s">
        <v>22</v>
      </c>
      <c r="B47" s="2"/>
      <c r="C47" s="2"/>
      <c r="D47" s="4">
        <f>SUM(D42:D46)</f>
        <v>11555</v>
      </c>
      <c r="E47" s="4"/>
      <c r="F47" s="4">
        <f>SUM(F42:F46)</f>
        <v>5405.75</v>
      </c>
      <c r="G47" s="4">
        <f>SUM(G42:G46)</f>
        <v>6149.25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2" sqref="B2"/>
    </sheetView>
  </sheetViews>
  <sheetFormatPr defaultColWidth="9" defaultRowHeight="15" outlineLevelRow="5" outlineLevelCol="3"/>
  <cols>
    <col min="1" max="1" width="11.8571428571429" customWidth="1"/>
    <col min="2" max="2" width="11.5714285714286" customWidth="1"/>
    <col min="3" max="3" width="16.7142857142857" customWidth="1"/>
    <col min="4" max="4" width="14.8571428571429" customWidth="1"/>
  </cols>
  <sheetData>
    <row r="1" ht="93.9" spans="1:4">
      <c r="A1" s="1" t="s">
        <v>23</v>
      </c>
      <c r="B1" s="1" t="s">
        <v>24</v>
      </c>
      <c r="C1" s="1" t="s">
        <v>25</v>
      </c>
      <c r="D1" s="1" t="s">
        <v>26</v>
      </c>
    </row>
    <row r="2" ht="18.75" spans="1:4">
      <c r="A2" s="2" t="s">
        <v>7</v>
      </c>
      <c r="B2" s="3">
        <f>SUMIF(Sales!$B:$B,A2,Sales!$D:$D)</f>
        <v>24284</v>
      </c>
      <c r="C2" s="3">
        <f>SUMIF(Sales!$B:$B,A2,Sales!$F:$F)</f>
        <v>7285.2</v>
      </c>
      <c r="D2" s="3">
        <f>SUMIF(Sales!$B:$B,A2,Sales!$G:$G)</f>
        <v>16998.8</v>
      </c>
    </row>
    <row r="3" ht="18.75" spans="1:4">
      <c r="A3" s="2" t="s">
        <v>9</v>
      </c>
      <c r="B3" s="3">
        <f>SUMIF(Sales!$B:$B,A3,Sales!$D:$D)</f>
        <v>34940</v>
      </c>
      <c r="C3" s="3">
        <f>SUMIF(Sales!$B:$B,A3,Sales!$F:$F)</f>
        <v>13976</v>
      </c>
      <c r="D3" s="3">
        <f>SUMIF(Sales!$B:$B,A3,Sales!$G:$G)</f>
        <v>20964</v>
      </c>
    </row>
    <row r="4" ht="18.75" spans="1:4">
      <c r="A4" s="2" t="s">
        <v>11</v>
      </c>
      <c r="B4" s="3">
        <f>SUMIF(Sales!$B:$B,A4,Sales!$D:$D)</f>
        <v>32830</v>
      </c>
      <c r="C4" s="3">
        <f>SUMIF(Sales!$B:$B,A4,Sales!$F:$F)</f>
        <v>14773.5</v>
      </c>
      <c r="D4" s="3">
        <f>SUMIF(Sales!$B:$B,A4,Sales!$G:$G)</f>
        <v>18056.5</v>
      </c>
    </row>
    <row r="5" ht="18.75" spans="1:4">
      <c r="A5" s="2" t="s">
        <v>13</v>
      </c>
      <c r="B5" s="3">
        <f>SUMIF(Sales!$B:$B,A5,Sales!$D:$D)</f>
        <v>31072</v>
      </c>
      <c r="C5" s="3">
        <f>SUMIF(Sales!$B:$B,A5,Sales!$F:$F)</f>
        <v>15536</v>
      </c>
      <c r="D5" s="3">
        <f>SUMIF(Sales!$B:$B,A5,Sales!$G:$G)</f>
        <v>15536</v>
      </c>
    </row>
    <row r="6" ht="18.75" spans="1:4">
      <c r="A6" s="2" t="s">
        <v>15</v>
      </c>
      <c r="B6" s="3">
        <f>SUMIF(Sales!$B:$B,A6,Sales!$D:$D)</f>
        <v>37897</v>
      </c>
      <c r="C6" s="3">
        <f>SUMIF(Sales!$B:$B,A6,Sales!$F:$F)</f>
        <v>24633.05</v>
      </c>
      <c r="D6" s="3">
        <f>SUMIF(Sales!$B:$B,A6,Sales!$G:$G)</f>
        <v>13263.95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</vt:lpstr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Misango</dc:creator>
  <cp:lastModifiedBy>Austin Misango</cp:lastModifiedBy>
  <dcterms:created xsi:type="dcterms:W3CDTF">2026-07-01T16:08:00Z</dcterms:created>
  <dcterms:modified xsi:type="dcterms:W3CDTF">2026-10-12T18:20:33Z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8B333ED5456F487EA3004F271EA7687A_13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